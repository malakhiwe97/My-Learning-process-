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alak\Downloads\"/>
    </mc:Choice>
  </mc:AlternateContent>
  <xr:revisionPtr revIDLastSave="0" documentId="13_ncr:1_{412EE559-F81C-4CA0-922B-06DFC54A6DC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 sheetId="3" r:id="rId3"/>
    <sheet name="Dashboard" sheetId="4" r:id="rId4"/>
  </sheets>
  <definedNames>
    <definedName name="_xlnm._FilterDatabase" localSheetId="0" hidden="1">bike_buyers!$A$1:$M$1001</definedName>
    <definedName name="Slicer_Education">#N/A</definedName>
    <definedName name="Slicer_Married_arital_Single_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<sst xmlns="http://schemas.openxmlformats.org/spreadsheetml/2006/main" count="16273" uniqueCount="51">
  <si>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</si>
  <si>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</si>
  <si>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</si>
  <si>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</si>
  <si>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</si>
  <si>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</si>
  <si>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</si>
  <si>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</si>
  <si>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</si>
  <si>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</si>
  <si>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</si>
  <si>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</si>
  <si>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</si>
  <si>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</si>
  <si>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</si>
  <si>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</si>
  <si>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</si>
  <si>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</si>
  <si>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</si>
  <si>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</si>
  <si>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</si>
  <si>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</si>
  <si>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</si>
  <si>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</si>
  <si>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</si>
  <si>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</si>
  <si>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</si>
  <si>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</si>
  <si>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</si>
  <si>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</si>
  <si>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</si>
  <si>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</si>
  <si>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</si>
  <si>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</si>
  <si>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</si>
  <si>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</si>
  <si>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Married </t>
  </si>
  <si>
    <t xml:space="preserve">Single </t>
  </si>
  <si>
    <t>Married arital Single tatus</t>
  </si>
  <si>
    <t xml:space="preserve">Male </t>
  </si>
  <si>
    <t>Female</t>
  </si>
  <si>
    <t>Age Brackets</t>
  </si>
  <si>
    <t>Row Labels</t>
  </si>
  <si>
    <t>Grand Total</t>
  </si>
  <si>
    <t>Average of Income</t>
  </si>
  <si>
    <t>Column Labels</t>
  </si>
  <si>
    <t>Count of Purchased Bike</t>
  </si>
  <si>
    <t xml:space="preserve">More than 10 Miles </t>
  </si>
  <si>
    <t>Middle Age</t>
  </si>
  <si>
    <t>Old</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</si>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</sst>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 </c:v>
                </c:pt>
              </c:strCache>
            </c:strRef>
          </c:cat>
          <c:val>
            <c:numRef>
              <c:f>'Pivot Table '!$B$5:$B$7</c:f>
              <c:numCache>
                <c:formatCode>"R"#\ ##0.00</c:formatCode>
                <c:ptCount val="2"/>
                <c:pt idx="0">
                  <c:v>71111.111111111109</c:v>
                </c:pt>
                <c:pt idx="1">
                  <c:v>66774.193548387091</c:v>
                </c:pt>
              </c:numCache>
            </c:numRef>
          </c:val>
          <c:extLst>
            <c:ext xmlns:c16="http://schemas.microsoft.com/office/drawing/2014/chart" uri="{C3380CC4-5D6E-409C-BE32-E72D297353CC}">
              <c16:uniqueId val="{00000000-87C3-4F13-BC41-C372D4CD46C1}"/>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 </c:v>
                </c:pt>
              </c:strCache>
            </c:strRef>
          </c:cat>
          <c:val>
            <c:numRef>
              <c:f>'Pivot Table '!$C$5:$C$7</c:f>
              <c:numCache>
                <c:formatCode>"R"#\ ##0.00</c:formatCode>
                <c:ptCount val="2"/>
                <c:pt idx="0">
                  <c:v>76875</c:v>
                </c:pt>
                <c:pt idx="1">
                  <c:v>61250</c:v>
                </c:pt>
              </c:numCache>
            </c:numRef>
          </c:val>
          <c:extLst>
            <c:ext xmlns:c16="http://schemas.microsoft.com/office/drawing/2014/chart" uri="{C3380CC4-5D6E-409C-BE32-E72D297353CC}">
              <c16:uniqueId val="{00000001-87C3-4F13-BC41-C372D4CD46C1}"/>
            </c:ext>
          </c:extLst>
        </c:ser>
        <c:dLbls>
          <c:showLegendKey val="0"/>
          <c:showVal val="0"/>
          <c:showCatName val="0"/>
          <c:showSerName val="0"/>
          <c:showPercent val="0"/>
          <c:showBubbleSize val="0"/>
        </c:dLbls>
        <c:gapWidth val="219"/>
        <c:overlap val="-27"/>
        <c:axId val="1211499120"/>
        <c:axId val="1211486160"/>
      </c:barChart>
      <c:catAx>
        <c:axId val="121149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layout>
            <c:manualLayout>
              <c:xMode val="edge"/>
              <c:yMode val="edge"/>
              <c:x val="0.4274573490813647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86160"/>
        <c:crosses val="autoZero"/>
        <c:auto val="1"/>
        <c:lblAlgn val="ctr"/>
        <c:lblOffset val="100"/>
        <c:noMultiLvlLbl val="0"/>
      </c:catAx>
      <c:valAx>
        <c:axId val="121148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distance Vs Number Purchased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'!$B$29:$B$30</c:f>
              <c:strCache>
                <c:ptCount val="1"/>
                <c:pt idx="0">
                  <c:v>No</c:v>
                </c:pt>
              </c:strCache>
            </c:strRef>
          </c:tx>
          <c:spPr>
            <a:ln w="28575" cap="rnd">
              <a:solidFill>
                <a:schemeClr val="accent1"/>
              </a:solidFill>
              <a:round/>
            </a:ln>
            <a:effectLst/>
          </c:spPr>
          <c:marker>
            <c:symbol val="none"/>
          </c:marker>
          <c:cat>
            <c:strRef>
              <c:f>'Pivot Table '!$A$31:$A$36</c:f>
              <c:strCache>
                <c:ptCount val="5"/>
                <c:pt idx="0">
                  <c:v>0-1 Miles</c:v>
                </c:pt>
                <c:pt idx="1">
                  <c:v>1-2 Miles</c:v>
                </c:pt>
                <c:pt idx="2">
                  <c:v>2-5 Miles</c:v>
                </c:pt>
                <c:pt idx="3">
                  <c:v>5-10 Miles</c:v>
                </c:pt>
                <c:pt idx="4">
                  <c:v>More than 10 Miles </c:v>
                </c:pt>
              </c:strCache>
            </c:strRef>
          </c:cat>
          <c:val>
            <c:numRef>
              <c:f>'Pivot Table '!$B$31:$B$36</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6FF2-42EA-87DB-04E1550599A7}"/>
            </c:ext>
          </c:extLst>
        </c:ser>
        <c:ser>
          <c:idx val="1"/>
          <c:order val="1"/>
          <c:tx>
            <c:strRef>
              <c:f>'Pivot Table '!$C$29:$C$30</c:f>
              <c:strCache>
                <c:ptCount val="1"/>
                <c:pt idx="0">
                  <c:v>Yes</c:v>
                </c:pt>
              </c:strCache>
            </c:strRef>
          </c:tx>
          <c:spPr>
            <a:ln w="28575" cap="rnd">
              <a:solidFill>
                <a:schemeClr val="accent2"/>
              </a:solidFill>
              <a:round/>
            </a:ln>
            <a:effectLst/>
          </c:spPr>
          <c:marker>
            <c:symbol val="none"/>
          </c:marker>
          <c:cat>
            <c:strRef>
              <c:f>'Pivot Table '!$A$31:$A$36</c:f>
              <c:strCache>
                <c:ptCount val="5"/>
                <c:pt idx="0">
                  <c:v>0-1 Miles</c:v>
                </c:pt>
                <c:pt idx="1">
                  <c:v>1-2 Miles</c:v>
                </c:pt>
                <c:pt idx="2">
                  <c:v>2-5 Miles</c:v>
                </c:pt>
                <c:pt idx="3">
                  <c:v>5-10 Miles</c:v>
                </c:pt>
                <c:pt idx="4">
                  <c:v>More than 10 Miles </c:v>
                </c:pt>
              </c:strCache>
            </c:strRef>
          </c:cat>
          <c:val>
            <c:numRef>
              <c:f>'Pivot Table '!$C$31:$C$36</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6FF2-42EA-87DB-04E1550599A7}"/>
            </c:ext>
          </c:extLst>
        </c:ser>
        <c:dLbls>
          <c:showLegendKey val="0"/>
          <c:showVal val="0"/>
          <c:showCatName val="0"/>
          <c:showSerName val="0"/>
          <c:showPercent val="0"/>
          <c:showBubbleSize val="0"/>
        </c:dLbls>
        <c:smooth val="0"/>
        <c:axId val="1366967488"/>
        <c:axId val="1366955488"/>
      </c:lineChart>
      <c:catAx>
        <c:axId val="136696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 </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55488"/>
        <c:crosses val="autoZero"/>
        <c:auto val="1"/>
        <c:lblAlgn val="ctr"/>
        <c:lblOffset val="100"/>
        <c:noMultiLvlLbl val="0"/>
      </c:catAx>
      <c:valAx>
        <c:axId val="136695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6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No</a:t>
            </a:r>
            <a:r>
              <a:rPr lang="en-ZA" baseline="0"/>
              <a:t> of purchased Bikes by Age Group</a:t>
            </a:r>
            <a:endParaRPr lang="en-ZA"/>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'!$B$48:$B$49</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'!$A$50:$A$52</c:f>
              <c:strCache>
                <c:ptCount val="2"/>
                <c:pt idx="0">
                  <c:v>Middle Age</c:v>
                </c:pt>
                <c:pt idx="1">
                  <c:v>Old</c:v>
                </c:pt>
              </c:strCache>
            </c:strRef>
          </c:cat>
          <c:val>
            <c:numRef>
              <c:f>'Pivot Table '!$B$50:$B$52</c:f>
              <c:numCache>
                <c:formatCode>General</c:formatCode>
                <c:ptCount val="2"/>
                <c:pt idx="0">
                  <c:v>34</c:v>
                </c:pt>
                <c:pt idx="1">
                  <c:v>15</c:v>
                </c:pt>
              </c:numCache>
            </c:numRef>
          </c:val>
          <c:smooth val="0"/>
          <c:extLst>
            <c:ext xmlns:c16="http://schemas.microsoft.com/office/drawing/2014/chart" uri="{C3380CC4-5D6E-409C-BE32-E72D297353CC}">
              <c16:uniqueId val="{00000000-5375-4002-B5F3-FD46919A132F}"/>
            </c:ext>
          </c:extLst>
        </c:ser>
        <c:ser>
          <c:idx val="1"/>
          <c:order val="1"/>
          <c:tx>
            <c:strRef>
              <c:f>'Pivot Table '!$C$48:$C$49</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'!$A$50:$A$52</c:f>
              <c:strCache>
                <c:ptCount val="2"/>
                <c:pt idx="0">
                  <c:v>Middle Age</c:v>
                </c:pt>
                <c:pt idx="1">
                  <c:v>Old</c:v>
                </c:pt>
              </c:strCache>
            </c:strRef>
          </c:cat>
          <c:val>
            <c:numRef>
              <c:f>'Pivot Table '!$C$50:$C$52</c:f>
              <c:numCache>
                <c:formatCode>General</c:formatCode>
                <c:ptCount val="2"/>
                <c:pt idx="0">
                  <c:v>21</c:v>
                </c:pt>
                <c:pt idx="1">
                  <c:v>3</c:v>
                </c:pt>
              </c:numCache>
            </c:numRef>
          </c:val>
          <c:smooth val="0"/>
          <c:extLst>
            <c:ext xmlns:c16="http://schemas.microsoft.com/office/drawing/2014/chart" uri="{C3380CC4-5D6E-409C-BE32-E72D297353CC}">
              <c16:uniqueId val="{00000001-5375-4002-B5F3-FD46919A132F}"/>
            </c:ext>
          </c:extLst>
        </c:ser>
        <c:dLbls>
          <c:dLblPos val="ctr"/>
          <c:showLegendKey val="0"/>
          <c:showVal val="1"/>
          <c:showCatName val="0"/>
          <c:showSerName val="0"/>
          <c:showPercent val="0"/>
          <c:showBubbleSize val="0"/>
        </c:dLbls>
        <c:marker val="1"/>
        <c:smooth val="0"/>
        <c:axId val="1366968928"/>
        <c:axId val="1366972768"/>
      </c:lineChart>
      <c:catAx>
        <c:axId val="1366968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Age</a:t>
                </a:r>
                <a:r>
                  <a:rPr lang="en-ZA" baseline="0"/>
                  <a:t> Bracket </a:t>
                </a:r>
                <a:endParaRPr lang="en-ZA"/>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6972768"/>
        <c:crosses val="autoZero"/>
        <c:auto val="1"/>
        <c:lblAlgn val="ctr"/>
        <c:lblOffset val="100"/>
        <c:noMultiLvlLbl val="0"/>
      </c:catAx>
      <c:valAx>
        <c:axId val="13669727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669689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 </c:v>
                </c:pt>
              </c:strCache>
            </c:strRef>
          </c:cat>
          <c:val>
            <c:numRef>
              <c:f>'Pivot Table '!$B$5:$B$7</c:f>
              <c:numCache>
                <c:formatCode>"R"#\ ##0.00</c:formatCode>
                <c:ptCount val="2"/>
                <c:pt idx="0">
                  <c:v>71111.111111111109</c:v>
                </c:pt>
                <c:pt idx="1">
                  <c:v>66774.193548387091</c:v>
                </c:pt>
              </c:numCache>
            </c:numRef>
          </c:val>
          <c:extLst>
            <c:ext xmlns:c16="http://schemas.microsoft.com/office/drawing/2014/chart" uri="{C3380CC4-5D6E-409C-BE32-E72D297353CC}">
              <c16:uniqueId val="{00000000-9EDD-48B4-A16B-F5F92A17A0ED}"/>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 </c:v>
                </c:pt>
              </c:strCache>
            </c:strRef>
          </c:cat>
          <c:val>
            <c:numRef>
              <c:f>'Pivot Table '!$C$5:$C$7</c:f>
              <c:numCache>
                <c:formatCode>"R"#\ ##0.00</c:formatCode>
                <c:ptCount val="2"/>
                <c:pt idx="0">
                  <c:v>76875</c:v>
                </c:pt>
                <c:pt idx="1">
                  <c:v>61250</c:v>
                </c:pt>
              </c:numCache>
            </c:numRef>
          </c:val>
          <c:extLst>
            <c:ext xmlns:c16="http://schemas.microsoft.com/office/drawing/2014/chart" uri="{C3380CC4-5D6E-409C-BE32-E72D297353CC}">
              <c16:uniqueId val="{00000001-9EDD-48B4-A16B-F5F92A17A0ED}"/>
            </c:ext>
          </c:extLst>
        </c:ser>
        <c:dLbls>
          <c:showLegendKey val="0"/>
          <c:showVal val="0"/>
          <c:showCatName val="0"/>
          <c:showSerName val="0"/>
          <c:showPercent val="0"/>
          <c:showBubbleSize val="0"/>
        </c:dLbls>
        <c:gapWidth val="219"/>
        <c:overlap val="-27"/>
        <c:axId val="1211499120"/>
        <c:axId val="1211486160"/>
      </c:barChart>
      <c:catAx>
        <c:axId val="121149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layout>
            <c:manualLayout>
              <c:xMode val="edge"/>
              <c:yMode val="edge"/>
              <c:x val="0.4274573490813647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86160"/>
        <c:crosses val="autoZero"/>
        <c:auto val="1"/>
        <c:lblAlgn val="ctr"/>
        <c:lblOffset val="100"/>
        <c:noMultiLvlLbl val="0"/>
      </c:catAx>
      <c:valAx>
        <c:axId val="121148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distance Vs Number Purchased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'!$B$29:$B$30</c:f>
              <c:strCache>
                <c:ptCount val="1"/>
                <c:pt idx="0">
                  <c:v>No</c:v>
                </c:pt>
              </c:strCache>
            </c:strRef>
          </c:tx>
          <c:spPr>
            <a:ln w="28575" cap="rnd">
              <a:solidFill>
                <a:schemeClr val="accent1"/>
              </a:solidFill>
              <a:round/>
            </a:ln>
            <a:effectLst/>
          </c:spPr>
          <c:marker>
            <c:symbol val="none"/>
          </c:marker>
          <c:cat>
            <c:strRef>
              <c:f>'Pivot Table '!$A$31:$A$36</c:f>
              <c:strCache>
                <c:ptCount val="5"/>
                <c:pt idx="0">
                  <c:v>0-1 Miles</c:v>
                </c:pt>
                <c:pt idx="1">
                  <c:v>1-2 Miles</c:v>
                </c:pt>
                <c:pt idx="2">
                  <c:v>2-5 Miles</c:v>
                </c:pt>
                <c:pt idx="3">
                  <c:v>5-10 Miles</c:v>
                </c:pt>
                <c:pt idx="4">
                  <c:v>More than 10 Miles </c:v>
                </c:pt>
              </c:strCache>
            </c:strRef>
          </c:cat>
          <c:val>
            <c:numRef>
              <c:f>'Pivot Table '!$B$31:$B$36</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8CA0-4DA4-8955-FE67E7CD8F98}"/>
            </c:ext>
          </c:extLst>
        </c:ser>
        <c:ser>
          <c:idx val="1"/>
          <c:order val="1"/>
          <c:tx>
            <c:strRef>
              <c:f>'Pivot Table '!$C$29:$C$30</c:f>
              <c:strCache>
                <c:ptCount val="1"/>
                <c:pt idx="0">
                  <c:v>Yes</c:v>
                </c:pt>
              </c:strCache>
            </c:strRef>
          </c:tx>
          <c:spPr>
            <a:ln w="28575" cap="rnd">
              <a:solidFill>
                <a:schemeClr val="accent2"/>
              </a:solidFill>
              <a:round/>
            </a:ln>
            <a:effectLst/>
          </c:spPr>
          <c:marker>
            <c:symbol val="none"/>
          </c:marker>
          <c:cat>
            <c:strRef>
              <c:f>'Pivot Table '!$A$31:$A$36</c:f>
              <c:strCache>
                <c:ptCount val="5"/>
                <c:pt idx="0">
                  <c:v>0-1 Miles</c:v>
                </c:pt>
                <c:pt idx="1">
                  <c:v>1-2 Miles</c:v>
                </c:pt>
                <c:pt idx="2">
                  <c:v>2-5 Miles</c:v>
                </c:pt>
                <c:pt idx="3">
                  <c:v>5-10 Miles</c:v>
                </c:pt>
                <c:pt idx="4">
                  <c:v>More than 10 Miles </c:v>
                </c:pt>
              </c:strCache>
            </c:strRef>
          </c:cat>
          <c:val>
            <c:numRef>
              <c:f>'Pivot Table '!$C$31:$C$36</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8CA0-4DA4-8955-FE67E7CD8F98}"/>
            </c:ext>
          </c:extLst>
        </c:ser>
        <c:dLbls>
          <c:showLegendKey val="0"/>
          <c:showVal val="0"/>
          <c:showCatName val="0"/>
          <c:showSerName val="0"/>
          <c:showPercent val="0"/>
          <c:showBubbleSize val="0"/>
        </c:dLbls>
        <c:smooth val="0"/>
        <c:axId val="1366967488"/>
        <c:axId val="1366955488"/>
      </c:lineChart>
      <c:catAx>
        <c:axId val="136696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 </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55488"/>
        <c:crosses val="autoZero"/>
        <c:auto val="1"/>
        <c:lblAlgn val="ctr"/>
        <c:lblOffset val="100"/>
        <c:noMultiLvlLbl val="0"/>
      </c:catAx>
      <c:valAx>
        <c:axId val="136695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6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No of purchased Bikes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28590077282006415"/>
          <c:w val="0.72222222222222221"/>
          <c:h val="0.4226046223388743"/>
        </c:manualLayout>
      </c:layout>
      <c:lineChart>
        <c:grouping val="standard"/>
        <c:varyColors val="0"/>
        <c:ser>
          <c:idx val="0"/>
          <c:order val="0"/>
          <c:tx>
            <c:strRef>
              <c:f>'Pivot Table '!$B$48:$B$49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'!$A$50:$A$52</c:f>
              <c:strCache>
                <c:ptCount val="2"/>
                <c:pt idx="0">
                  <c:v>Middle Age</c:v>
                </c:pt>
                <c:pt idx="1">
                  <c:v>Old</c:v>
                </c:pt>
              </c:strCache>
            </c:strRef>
          </c:cat>
          <c:val>
            <c:numRef>
              <c:f>'Pivot Table '!$B$50:$B$52</c:f>
              <c:numCache>
                <c:formatCode>General</c:formatCode>
                <c:ptCount val="2"/>
                <c:pt idx="0">
                  <c:v>34</c:v>
                </c:pt>
                <c:pt idx="1">
                  <c:v>15</c:v>
                </c:pt>
              </c:numCache>
            </c:numRef>
          </c:val>
          <c:smooth val="0"/>
          <c:extLst>
            <c:ext xmlns:c16="http://schemas.microsoft.com/office/drawing/2014/chart" uri="{C3380CC4-5D6E-409C-BE32-E72D297353CC}">
              <c16:uniqueId val="{00000000-92F7-4031-A3BC-40A2E98D8872}"/>
            </c:ext>
          </c:extLst>
        </c:ser>
        <c:ser>
          <c:idx val="1"/>
          <c:order val="1"/>
          <c:tx>
            <c:strRef>
              <c:f>'Pivot Table '!$C$48:$C$49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'!$A$50:$A$52</c:f>
              <c:strCache>
                <c:ptCount val="2"/>
                <c:pt idx="0">
                  <c:v>Middle Age</c:v>
                </c:pt>
                <c:pt idx="1">
                  <c:v>Old</c:v>
                </c:pt>
              </c:strCache>
            </c:strRef>
          </c:cat>
          <c:val>
            <c:numRef>
              <c:f>'Pivot Table '!$C$50:$C$52</c:f>
              <c:numCache>
                <c:formatCode>General</c:formatCode>
                <c:ptCount val="2"/>
                <c:pt idx="0">
                  <c:v>21</c:v>
                </c:pt>
                <c:pt idx="1">
                  <c:v>3</c:v>
                </c:pt>
              </c:numCache>
            </c:numRef>
          </c:val>
          <c:smooth val="0"/>
          <c:extLst>
            <c:ext xmlns:c16="http://schemas.microsoft.com/office/drawing/2014/chart" uri="{C3380CC4-5D6E-409C-BE32-E72D297353CC}">
              <c16:uniqueId val="{00000001-92F7-4031-A3BC-40A2E98D8872}"/>
            </c:ext>
          </c:extLst>
        </c:ser>
        <c:dLbls>
          <c:dLblPos val="ctr"/>
          <c:showLegendKey val="0"/>
          <c:showVal val="0"/>
          <c:showCatName val="0"/>
          <c:showSerName val="0"/>
          <c:showPercent val="0"/>
          <c:showBubbleSize val="0"/>
        </c:dLbls>
        <c:marker val="1"/>
        <c:smooth val="0"/>
        <c:axId val="1366968928"/>
        <c:axId val="1366972768"/>
      </c:lineChart>
      <c:catAx>
        <c:axId val="1366968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72768"/>
        <c:crosses val="autoZero"/>
        <c:auto val="1"/>
        <c:lblAlgn val="ctr"/>
        <c:lblOffset val="100"/>
        <c:noMultiLvlLbl val="0"/>
      </c:catAx>
      <c:valAx>
        <c:axId val="13669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6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381000</xdr:colOff>
      <xdr:row>21</xdr:row>
      <xdr:rowOff>41910</xdr:rowOff>
    </xdr:to>
    <xdr:graphicFrame macro="">
      <xdr:nvGraphicFramePr>
        <xdr:cNvPr id="2" name="Chart 1">
          <a:extLst>
            <a:ext uri="{FF2B5EF4-FFF2-40B4-BE49-F238E27FC236}">
              <a16:creationId xmlns:a16="http://schemas.microsoft.com/office/drawing/2014/main" id="{091CD90C-155B-9530-8F75-A5ABE0380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27</xdr:row>
      <xdr:rowOff>125730</xdr:rowOff>
    </xdr:from>
    <xdr:to>
      <xdr:col>12</xdr:col>
      <xdr:colOff>45720</xdr:colOff>
      <xdr:row>42</xdr:row>
      <xdr:rowOff>125730</xdr:rowOff>
    </xdr:to>
    <xdr:graphicFrame macro="">
      <xdr:nvGraphicFramePr>
        <xdr:cNvPr id="3" name="Chart 2">
          <a:extLst>
            <a:ext uri="{FF2B5EF4-FFF2-40B4-BE49-F238E27FC236}">
              <a16:creationId xmlns:a16="http://schemas.microsoft.com/office/drawing/2014/main" id="{E254229A-F9C1-F73D-A558-B824502B9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434340</xdr:colOff>
      <xdr:row>44</xdr:row>
      <xdr:rowOff>156210</xdr:rowOff>
    </xdr:from>
    <xdr:to>
      <xdr:col>12</xdr:col>
      <xdr:colOff>129540</xdr:colOff>
      <xdr:row>59</xdr:row>
      <xdr:rowOff>156210</xdr:rowOff>
    </xdr:to>
    <xdr:graphicFrame macro="">
      <xdr:nvGraphicFramePr>
        <xdr:cNvPr id="4" name="Chart 3">
          <a:extLst>
            <a:ext uri="{FF2B5EF4-FFF2-40B4-BE49-F238E27FC236}">
              <a16:creationId xmlns:a16="http://schemas.microsoft.com/office/drawing/2014/main" id="{56B88611-8932-A470-DC2D-D9CE6D21E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38100</xdr:rowOff>
    </xdr:from>
    <xdr:to>
      <xdr:col>6</xdr:col>
      <xdr:colOff>15240</xdr:colOff>
      <xdr:row>16</xdr:row>
      <xdr:rowOff>68580</xdr:rowOff>
    </xdr:to>
    <xdr:graphicFrame macro="">
      <xdr:nvGraphicFramePr>
        <xdr:cNvPr id="2" name="Chart 1">
          <a:extLst>
            <a:ext uri="{FF2B5EF4-FFF2-40B4-BE49-F238E27FC236}">
              <a16:creationId xmlns:a16="http://schemas.microsoft.com/office/drawing/2014/main" id="{65D4B152-47EB-4DCA-8CE7-032C38B51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160020</xdr:rowOff>
    </xdr:from>
    <xdr:to>
      <xdr:col>11</xdr:col>
      <xdr:colOff>38100</xdr:colOff>
      <xdr:row>30</xdr:row>
      <xdr:rowOff>160020</xdr:rowOff>
    </xdr:to>
    <xdr:graphicFrame macro="">
      <xdr:nvGraphicFramePr>
        <xdr:cNvPr id="3" name="Chart 2">
          <a:extLst>
            <a:ext uri="{FF2B5EF4-FFF2-40B4-BE49-F238E27FC236}">
              <a16:creationId xmlns:a16="http://schemas.microsoft.com/office/drawing/2014/main" id="{7ADD6B98-E7D4-4407-870B-9D21DF4D0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xdr:colOff>
      <xdr:row>4</xdr:row>
      <xdr:rowOff>15240</xdr:rowOff>
    </xdr:from>
    <xdr:to>
      <xdr:col>11</xdr:col>
      <xdr:colOff>7620</xdr:colOff>
      <xdr:row>15</xdr:row>
      <xdr:rowOff>144780</xdr:rowOff>
    </xdr:to>
    <xdr:graphicFrame macro="">
      <xdr:nvGraphicFramePr>
        <xdr:cNvPr id="4" name="Chart 3">
          <a:extLst>
            <a:ext uri="{FF2B5EF4-FFF2-40B4-BE49-F238E27FC236}">
              <a16:creationId xmlns:a16="http://schemas.microsoft.com/office/drawing/2014/main" id="{5266F3B2-CDB1-4C79-8720-9DB0001E7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53340</xdr:colOff>
      <xdr:row>0</xdr:row>
      <xdr:rowOff>167640</xdr:rowOff>
    </xdr:from>
    <xdr:to>
      <xdr:col>14</xdr:col>
      <xdr:colOff>53340</xdr:colOff>
      <xdr:row>6</xdr:row>
      <xdr:rowOff>38099</xdr:rowOff>
    </xdr:to>
    <mc:AlternateContent xmlns:mc="http://schemas.openxmlformats.org/markup-compatibility/2006">
      <mc:Choice xmlns:a14="http://schemas.microsoft.com/office/drawing/2010/main" Requires="a14">
        <xdr:graphicFrame macro="">
          <xdr:nvGraphicFramePr>
            <xdr:cNvPr id="5" name="Married arital Single tatus">
              <a:extLst>
                <a:ext uri="{FF2B5EF4-FFF2-40B4-BE49-F238E27FC236}">
                  <a16:creationId xmlns:a16="http://schemas.microsoft.com/office/drawing/2014/main" id="{FBC7911E-1CEB-2F23-A5FC-5F4F3261C2B9}"/>
                </a:ext>
              </a:extLst>
            </xdr:cNvPr>
            <xdr:cNvGraphicFramePr/>
          </xdr:nvGraphicFramePr>
          <xdr:xfrm>
            <a:off x="0" y="0"/>
            <a:ext cx="0" cy="0"/>
          </xdr:xfrm>
          <a:graphic>
            <a:graphicData uri="http://schemas.microsoft.com/office/drawing/2010/slicer">
              <sle:slicer xmlns:sle="http://schemas.microsoft.com/office/drawing/2010/slicer" name="Married arital Single tatus"/>
            </a:graphicData>
          </a:graphic>
        </xdr:graphicFrame>
      </mc:Choice>
      <mc:Fallback>
        <xdr:sp macro="" textlink="">
          <xdr:nvSpPr>
            <xdr:cNvPr id="0" name=""/>
            <xdr:cNvSpPr>
              <a:spLocks noTextEdit="1"/>
            </xdr:cNvSpPr>
          </xdr:nvSpPr>
          <xdr:spPr>
            <a:xfrm>
              <a:off x="6987540" y="167640"/>
              <a:ext cx="1828800" cy="9677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xdr:colOff>
      <xdr:row>6</xdr:row>
      <xdr:rowOff>68581</xdr:rowOff>
    </xdr:from>
    <xdr:to>
      <xdr:col>14</xdr:col>
      <xdr:colOff>53340</xdr:colOff>
      <xdr:row>15</xdr:row>
      <xdr:rowOff>114301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FC85DB2-A51E-5CF6-66CA-CD8AC0DDCB3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987540" y="1165861"/>
              <a:ext cx="1828800" cy="16916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15</xdr:row>
      <xdr:rowOff>129541</xdr:rowOff>
    </xdr:from>
    <xdr:to>
      <xdr:col>14</xdr:col>
      <xdr:colOff>60960</xdr:colOff>
      <xdr:row>21</xdr:row>
      <xdr:rowOff>160021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8D98866-8CCE-5140-D55B-96972CA8F4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95160" y="2872741"/>
              <a:ext cx="1828800" cy="11277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khiwe Phumetyeni" refreshedDate="46072.858461226853" createdVersion="8" refreshedVersion="8" minRefreshableVersion="3" recordCount="1000" xr:uid="{764765CF-AFD6-43A9-86EC-CBAB6F16B1A9}">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arital Single tatus" numFmtId="0">
      <sharedItems count="2">
        <s v="Married "/>
        <s v="Single "/>
      </sharedItems>
    </cacheField>
    <cacheField name="Gender" numFmtId="0">
      <sharedItems count="2">
        <s v="Female"/>
        <s v="Male "/>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70177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DC9E25-B16F-49B3-908A-5B68ABA2A9E8}"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7:D9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185060-6DC5-4AAD-A5F3-B618D6F4B36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8:D5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8439A-E7C8-4235-A40E-44B0E76A916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D3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0B23C-9685-4B2F-B132-7C858F6373D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arital_Single_tatus" xr10:uid="{411CF4C6-B765-47EA-8B14-AA81AAFC3036}" sourceName="Married arital Single tatus">
  <pivotTables>
    <pivotTable tabId="3" name="PivotTable1"/>
    <pivotTable tabId="3" name="PivotTable2"/>
    <pivotTable tabId="3" name="PivotTable3"/>
    <pivotTable tabId="3" name="PivotTable4"/>
  </pivotTables>
  <data>
    <tabular pivotCacheId="197017719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088F30-6219-4613-A989-513F4BD5D86F}" sourceName="Education">
  <pivotTables>
    <pivotTable tabId="3" name="PivotTable3"/>
    <pivotTable tabId="3" name="PivotTable1"/>
    <pivotTable tabId="3" name="PivotTable2"/>
    <pivotTable tabId="3" name="PivotTable4"/>
  </pivotTables>
  <data>
    <tabular pivotCacheId="197017719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DAA1FC-30A1-476D-9EBB-EF17F6142C2B}" sourceName="Region">
  <pivotTables>
    <pivotTable tabId="3" name="PivotTable3"/>
    <pivotTable tabId="3" name="PivotTable1"/>
    <pivotTable tabId="3" name="PivotTable2"/>
    <pivotTable tabId="3" name="PivotTable4"/>
  </pivotTables>
  <data>
    <tabular pivotCacheId="197017719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arital Single tatus" xr10:uid="{77AD90CE-3C5D-4502-ABFB-E5D2C730DF77}" cache="Slicer_Married_arital_Single_tatus" caption="Married arital Single tatus" rowHeight="234950"/>
  <slicer name="Education" xr10:uid="{C744EE2A-CEC4-48C6-B70B-04D187A1B1F9}" cache="Slicer_Education" caption="Education" rowHeight="234950"/>
  <slicer name="Region" xr10:uid="{29F9A994-6892-4FC5-BA05-6EEC4FAB558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6" max="6" width="16.21875" bestFit="1" customWidth="1"/>
    <col min="7" max="7" width="12.664062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E055-7223-44BD-A0E5-915D1E93CCE8}">
  <dimension ref="A1:N1001"/>
  <sheetViews>
    <sheetView topLeftCell="C1" workbookViewId="0">
      <selection activeCell="J65" sqref="J65"/>
    </sheetView>
  </sheetViews>
  <sheetFormatPr defaultColWidth="11.88671875" defaultRowHeight="14.4" x14ac:dyDescent="0.3"/>
  <cols>
    <col min="4" max="4" width="11.88671875" style="3"/>
    <col min="6" max="6" width="16.21875" bestFit="1" customWidth="1"/>
    <col min="7" max="7" width="12.6640625" bestFit="1" customWidth="1"/>
    <col min="8" max="8" width="11.77734375" bestFit="1" customWidth="1"/>
    <col min="10" max="10" width="16.5546875" bestFit="1" customWidth="1"/>
    <col min="11" max="11" width="12.88671875" bestFit="1" customWidth="1"/>
    <col min="14" max="14" width="15.44140625"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40</v>
      </c>
      <c r="D2" s="3">
        <v>40000</v>
      </c>
      <c r="E2">
        <v>1</v>
      </c>
      <c r="F2" t="s">
        <v>13</v>
      </c>
      <c r="G2" t="s">
        <v>14</v>
      </c>
      <c r="H2" t="s">
        <v>15</v>
      </c>
      <c r="I2">
        <v>0</v>
      </c>
      <c r="J2" t="s">
        <v>16</v>
      </c>
      <c r="K2" t="s">
        <v>17</v>
      </c>
      <c r="L2">
        <v>42</v>
      </c>
      <c r="M2" t="str">
        <f>IF(L2&gt;=60,"Old",IF(L2&gt;=31,"Middle Age","Adolescent"))</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IF(L3&gt;=60,"Old",IF(L3&gt;=31,"Middle Age","Adolescent"))</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40</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Middle Age</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40</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Middle Age</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40</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Middle Age</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Middle Age</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IF(L67&gt;=60,"Old",IF(L67&gt;=31,"Middle Age","Adolescent"))</f>
        <v>Old</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40</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40</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IF(L131&gt;=60,"Old",IF(L131&gt;=31,"Middle Age","Adolescent"))</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40</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3">
        <v>130000</v>
      </c>
      <c r="E186">
        <v>4</v>
      </c>
      <c r="F186" t="s">
        <v>27</v>
      </c>
      <c r="G186" t="s">
        <v>28</v>
      </c>
      <c r="H186" t="s">
        <v>18</v>
      </c>
      <c r="I186">
        <v>4</v>
      </c>
      <c r="J186" t="s">
        <v>47</v>
      </c>
      <c r="K186" t="s">
        <v>17</v>
      </c>
      <c r="L186">
        <v>58</v>
      </c>
      <c r="M186" t="str">
        <f t="shared" si="2"/>
        <v>Middle Age</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Middle Age</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Middle Age</v>
      </c>
      <c r="N189" t="s">
        <v>18</v>
      </c>
    </row>
    <row r="190" spans="1:14" x14ac:dyDescent="0.3">
      <c r="A190">
        <v>20606</v>
      </c>
      <c r="B190" t="s">
        <v>36</v>
      </c>
      <c r="C190" t="s">
        <v>40</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40</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40</v>
      </c>
      <c r="D195" s="3">
        <v>70000</v>
      </c>
      <c r="E195">
        <v>5</v>
      </c>
      <c r="F195" t="s">
        <v>13</v>
      </c>
      <c r="G195" t="s">
        <v>21</v>
      </c>
      <c r="H195" t="s">
        <v>15</v>
      </c>
      <c r="I195">
        <v>4</v>
      </c>
      <c r="J195" t="s">
        <v>47</v>
      </c>
      <c r="K195" t="s">
        <v>24</v>
      </c>
      <c r="L195">
        <v>41</v>
      </c>
      <c r="M195" t="str">
        <f t="shared" ref="M195:M258" si="3">IF(L195&gt;=60,"Old",IF(L195&gt;=31,"Middle Age","Adolescent"))</f>
        <v>Middle Age</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40</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Middle Age</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Middle Age</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40</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Middle Age</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IF(L259&gt;=60,"Old",IF(L259&gt;=31,"Middle Age","Adolescent"))</f>
        <v>Middle Age</v>
      </c>
      <c r="N259" t="s">
        <v>15</v>
      </c>
    </row>
    <row r="260" spans="1:14" x14ac:dyDescent="0.3">
      <c r="A260">
        <v>14193</v>
      </c>
      <c r="B260" t="s">
        <v>37</v>
      </c>
      <c r="C260" t="s">
        <v>40</v>
      </c>
      <c r="D260" s="3">
        <v>100000</v>
      </c>
      <c r="E260">
        <v>3</v>
      </c>
      <c r="F260" t="s">
        <v>19</v>
      </c>
      <c r="G260" t="s">
        <v>28</v>
      </c>
      <c r="H260" t="s">
        <v>15</v>
      </c>
      <c r="I260">
        <v>4</v>
      </c>
      <c r="J260" t="s">
        <v>47</v>
      </c>
      <c r="K260" t="s">
        <v>17</v>
      </c>
      <c r="L260">
        <v>56</v>
      </c>
      <c r="M260" t="str">
        <f t="shared" si="4"/>
        <v>Middle Age</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40</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40</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IF(L323&gt;=60,"Old",IF(L323&gt;=31,"Middle Age","Adolescent"))</f>
        <v>Middle Age</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40</v>
      </c>
      <c r="D331" s="3">
        <v>90000</v>
      </c>
      <c r="E331">
        <v>5</v>
      </c>
      <c r="F331" t="s">
        <v>29</v>
      </c>
      <c r="G331" t="s">
        <v>14</v>
      </c>
      <c r="H331" t="s">
        <v>15</v>
      </c>
      <c r="I331">
        <v>2</v>
      </c>
      <c r="J331" t="s">
        <v>47</v>
      </c>
      <c r="K331" t="s">
        <v>17</v>
      </c>
      <c r="L331">
        <v>59</v>
      </c>
      <c r="M331" t="str">
        <f t="shared" si="5"/>
        <v>Middle Age</v>
      </c>
      <c r="N331" t="s">
        <v>18</v>
      </c>
    </row>
    <row r="332" spans="1:14" x14ac:dyDescent="0.3">
      <c r="A332">
        <v>24898</v>
      </c>
      <c r="B332" t="s">
        <v>37</v>
      </c>
      <c r="C332" t="s">
        <v>40</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40</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IF(L387&gt;=60,"Old",IF(L387&gt;=31,"Middle Age","Adolescent"))</f>
        <v>Middle Age</v>
      </c>
      <c r="N387" t="s">
        <v>18</v>
      </c>
    </row>
    <row r="388" spans="1:14" x14ac:dyDescent="0.3">
      <c r="A388">
        <v>28957</v>
      </c>
      <c r="B388" t="s">
        <v>37</v>
      </c>
      <c r="C388" t="s">
        <v>40</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40</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40</v>
      </c>
      <c r="D422" s="3">
        <v>100000</v>
      </c>
      <c r="E422">
        <v>2</v>
      </c>
      <c r="F422" t="s">
        <v>13</v>
      </c>
      <c r="G422" t="s">
        <v>28</v>
      </c>
      <c r="H422" t="s">
        <v>15</v>
      </c>
      <c r="I422">
        <v>4</v>
      </c>
      <c r="J422" t="s">
        <v>47</v>
      </c>
      <c r="K422" t="s">
        <v>17</v>
      </c>
      <c r="L422">
        <v>59</v>
      </c>
      <c r="M422" t="str">
        <f t="shared" si="6"/>
        <v>Middle Age</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40</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IF(L451&gt;=60,"Old",IF(L451&gt;=31,"Middle Age","Adolescent"))</f>
        <v>Middle Age</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40</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40</v>
      </c>
      <c r="D488" s="3">
        <v>90000</v>
      </c>
      <c r="E488">
        <v>4</v>
      </c>
      <c r="F488" t="s">
        <v>29</v>
      </c>
      <c r="G488" t="s">
        <v>14</v>
      </c>
      <c r="H488" t="s">
        <v>15</v>
      </c>
      <c r="I488">
        <v>4</v>
      </c>
      <c r="J488" t="s">
        <v>47</v>
      </c>
      <c r="K488" t="s">
        <v>17</v>
      </c>
      <c r="L488">
        <v>58</v>
      </c>
      <c r="M488" t="str">
        <f t="shared" si="7"/>
        <v>Middle Age</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Middle Age</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40</v>
      </c>
      <c r="D515" s="3">
        <v>60000</v>
      </c>
      <c r="E515">
        <v>4</v>
      </c>
      <c r="F515" t="s">
        <v>31</v>
      </c>
      <c r="G515" t="s">
        <v>28</v>
      </c>
      <c r="H515" t="s">
        <v>15</v>
      </c>
      <c r="I515">
        <v>2</v>
      </c>
      <c r="J515" t="s">
        <v>47</v>
      </c>
      <c r="K515" t="s">
        <v>32</v>
      </c>
      <c r="L515">
        <v>61</v>
      </c>
      <c r="M515" t="str">
        <f t="shared" ref="M515:M578" si="8">IF(L515&gt;=60,"Old",IF(L515&gt;=31,"Middle Age","Adolescent"))</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Middle Age</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Middle Age</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40</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40</v>
      </c>
      <c r="D561" s="3">
        <v>60000</v>
      </c>
      <c r="E561">
        <v>2</v>
      </c>
      <c r="F561" t="s">
        <v>13</v>
      </c>
      <c r="G561" t="s">
        <v>28</v>
      </c>
      <c r="H561" t="s">
        <v>15</v>
      </c>
      <c r="I561">
        <v>0</v>
      </c>
      <c r="J561" t="s">
        <v>47</v>
      </c>
      <c r="K561" t="s">
        <v>32</v>
      </c>
      <c r="L561">
        <v>58</v>
      </c>
      <c r="M561" t="str">
        <f t="shared" si="8"/>
        <v>Middle Age</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Middle Age</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IF(L579&gt;=60,"Old",IF(L579&gt;=31,"Middle Age","Adolescent"))</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Middle Age</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40</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40</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Middle Age</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Middle Age</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40</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Middle Age</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Middle Age</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IF(L643&gt;=60,"Old",IF(L643&gt;=31,"Middle Age","Adolescent"))</f>
        <v>Old</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40</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Middle Age</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40</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40</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40</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Middle Age</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Middle Age</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40</v>
      </c>
      <c r="D707" s="3">
        <v>70000</v>
      </c>
      <c r="E707">
        <v>4</v>
      </c>
      <c r="F707" t="s">
        <v>13</v>
      </c>
      <c r="G707" t="s">
        <v>28</v>
      </c>
      <c r="H707" t="s">
        <v>15</v>
      </c>
      <c r="I707">
        <v>1</v>
      </c>
      <c r="J707" t="s">
        <v>47</v>
      </c>
      <c r="K707" t="s">
        <v>32</v>
      </c>
      <c r="L707">
        <v>59</v>
      </c>
      <c r="M707" t="str">
        <f t="shared" ref="M707:M770" si="11">IF(L707&gt;=60,"Old",IF(L707&gt;=31,"Middle Age","Adolescent"))</f>
        <v>Middle Age</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40</v>
      </c>
      <c r="D711" s="3">
        <v>70000</v>
      </c>
      <c r="E711">
        <v>2</v>
      </c>
      <c r="F711" t="s">
        <v>13</v>
      </c>
      <c r="G711" t="s">
        <v>28</v>
      </c>
      <c r="H711" t="s">
        <v>15</v>
      </c>
      <c r="I711">
        <v>1</v>
      </c>
      <c r="J711" t="s">
        <v>47</v>
      </c>
      <c r="K711" t="s">
        <v>32</v>
      </c>
      <c r="L711">
        <v>59</v>
      </c>
      <c r="M711" t="str">
        <f t="shared" si="11"/>
        <v>Middle Age</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40</v>
      </c>
      <c r="D713" s="3">
        <v>70000</v>
      </c>
      <c r="E713">
        <v>2</v>
      </c>
      <c r="F713" t="s">
        <v>19</v>
      </c>
      <c r="G713" t="s">
        <v>21</v>
      </c>
      <c r="H713" t="s">
        <v>15</v>
      </c>
      <c r="I713">
        <v>1</v>
      </c>
      <c r="J713" t="s">
        <v>47</v>
      </c>
      <c r="K713" t="s">
        <v>32</v>
      </c>
      <c r="L713">
        <v>58</v>
      </c>
      <c r="M713" t="str">
        <f t="shared" si="11"/>
        <v>Middle Age</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40</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40</v>
      </c>
      <c r="D746" s="3">
        <v>70000</v>
      </c>
      <c r="E746">
        <v>4</v>
      </c>
      <c r="F746" t="s">
        <v>19</v>
      </c>
      <c r="G746" t="s">
        <v>21</v>
      </c>
      <c r="H746" t="s">
        <v>15</v>
      </c>
      <c r="I746">
        <v>1</v>
      </c>
      <c r="J746" t="s">
        <v>47</v>
      </c>
      <c r="K746" t="s">
        <v>32</v>
      </c>
      <c r="L746">
        <v>56</v>
      </c>
      <c r="M746" t="str">
        <f t="shared" si="11"/>
        <v>Middle Age</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40</v>
      </c>
      <c r="D748" s="3">
        <v>60000</v>
      </c>
      <c r="E748">
        <v>2</v>
      </c>
      <c r="F748" t="s">
        <v>13</v>
      </c>
      <c r="G748" t="s">
        <v>28</v>
      </c>
      <c r="H748" t="s">
        <v>15</v>
      </c>
      <c r="I748">
        <v>0</v>
      </c>
      <c r="J748" t="s">
        <v>47</v>
      </c>
      <c r="K748" t="s">
        <v>32</v>
      </c>
      <c r="L748">
        <v>56</v>
      </c>
      <c r="M748" t="str">
        <f t="shared" si="11"/>
        <v>Middle Age</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Middle Age</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40</v>
      </c>
      <c r="D763" s="3">
        <v>60000</v>
      </c>
      <c r="E763">
        <v>5</v>
      </c>
      <c r="F763" t="s">
        <v>13</v>
      </c>
      <c r="G763" t="s">
        <v>28</v>
      </c>
      <c r="H763" t="s">
        <v>15</v>
      </c>
      <c r="I763">
        <v>3</v>
      </c>
      <c r="J763" t="s">
        <v>47</v>
      </c>
      <c r="K763" t="s">
        <v>32</v>
      </c>
      <c r="L763">
        <v>59</v>
      </c>
      <c r="M763" t="str">
        <f t="shared" si="11"/>
        <v>Middle Age</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Middle Age</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IF(L771&gt;=60,"Old",IF(L771&gt;=31,"Middle Age","Adolescent"))</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Middle Age</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40</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Middle Age</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40</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40</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IF(L835&gt;=60,"Old",IF(L835&gt;=31,"Middle Age","Adolescent"))</f>
        <v>Middle Age</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40</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Middle Age</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IF(L899&gt;=60,"Old",IF(L899&gt;=31,"Middle Age","Adolescent"))</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40</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40</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40</v>
      </c>
      <c r="D928" s="3">
        <v>40000</v>
      </c>
      <c r="E928">
        <v>2</v>
      </c>
      <c r="F928" t="s">
        <v>27</v>
      </c>
      <c r="G928" t="s">
        <v>21</v>
      </c>
      <c r="H928" t="s">
        <v>15</v>
      </c>
      <c r="I928">
        <v>2</v>
      </c>
      <c r="J928" t="s">
        <v>47</v>
      </c>
      <c r="K928" t="s">
        <v>32</v>
      </c>
      <c r="L928">
        <v>57</v>
      </c>
      <c r="M928" t="str">
        <f t="shared" si="14"/>
        <v>Middle Age</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Middle Age</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IF(L963&gt;=60,"Old",IF(L963&gt;=31,"Middle Age","Adolescent"))</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Middle Age</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Middle Age</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40</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40</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40</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F3CF-E296-41FB-A93B-BFCE1EE0ACFE}">
  <dimension ref="A3:D92"/>
  <sheetViews>
    <sheetView topLeftCell="A34" workbookViewId="0">
      <selection activeCell="D67" sqref="D67"/>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40</v>
      </c>
      <c r="B5" s="3">
        <v>71111.111111111109</v>
      </c>
      <c r="C5" s="3">
        <v>76875</v>
      </c>
      <c r="D5" s="3">
        <v>73823.529411764699</v>
      </c>
    </row>
    <row r="6" spans="1:4" x14ac:dyDescent="0.3">
      <c r="A6" s="5" t="s">
        <v>39</v>
      </c>
      <c r="B6" s="3">
        <v>66774.193548387091</v>
      </c>
      <c r="C6" s="3">
        <v>61250</v>
      </c>
      <c r="D6" s="3">
        <v>65641.025641025641</v>
      </c>
    </row>
    <row r="7" spans="1:4" x14ac:dyDescent="0.3">
      <c r="A7" s="5" t="s">
        <v>43</v>
      </c>
      <c r="B7" s="3">
        <v>68367.346938775503</v>
      </c>
      <c r="C7" s="3">
        <v>71666.666666666672</v>
      </c>
      <c r="D7" s="3">
        <v>69452.054794520547</v>
      </c>
    </row>
    <row r="29" spans="1:4" x14ac:dyDescent="0.3">
      <c r="A29" s="4" t="s">
        <v>46</v>
      </c>
      <c r="B29" s="4" t="s">
        <v>45</v>
      </c>
    </row>
    <row r="30" spans="1:4" x14ac:dyDescent="0.3">
      <c r="A30" s="4" t="s">
        <v>42</v>
      </c>
      <c r="B30" t="s">
        <v>18</v>
      </c>
      <c r="C30" t="s">
        <v>15</v>
      </c>
      <c r="D30" t="s">
        <v>43</v>
      </c>
    </row>
    <row r="31" spans="1:4" x14ac:dyDescent="0.3">
      <c r="A31" s="5" t="s">
        <v>16</v>
      </c>
      <c r="B31" s="6">
        <v>12</v>
      </c>
      <c r="C31" s="6">
        <v>10</v>
      </c>
      <c r="D31" s="6">
        <v>22</v>
      </c>
    </row>
    <row r="32" spans="1:4" x14ac:dyDescent="0.3">
      <c r="A32" s="5" t="s">
        <v>26</v>
      </c>
      <c r="B32" s="6">
        <v>8</v>
      </c>
      <c r="C32" s="6">
        <v>5</v>
      </c>
      <c r="D32" s="6">
        <v>13</v>
      </c>
    </row>
    <row r="33" spans="1:4" x14ac:dyDescent="0.3">
      <c r="A33" s="5" t="s">
        <v>22</v>
      </c>
      <c r="B33" s="6">
        <v>9</v>
      </c>
      <c r="C33" s="6">
        <v>8</v>
      </c>
      <c r="D33" s="6">
        <v>17</v>
      </c>
    </row>
    <row r="34" spans="1:4" x14ac:dyDescent="0.3">
      <c r="A34" s="5" t="s">
        <v>23</v>
      </c>
      <c r="B34" s="6">
        <v>4</v>
      </c>
      <c r="C34" s="6">
        <v>1</v>
      </c>
      <c r="D34" s="6">
        <v>5</v>
      </c>
    </row>
    <row r="35" spans="1:4" x14ac:dyDescent="0.3">
      <c r="A35" s="5" t="s">
        <v>47</v>
      </c>
      <c r="B35" s="6">
        <v>16</v>
      </c>
      <c r="C35" s="6"/>
      <c r="D35" s="6">
        <v>16</v>
      </c>
    </row>
    <row r="36" spans="1:4" x14ac:dyDescent="0.3">
      <c r="A36" s="5" t="s">
        <v>43</v>
      </c>
      <c r="B36" s="6">
        <v>49</v>
      </c>
      <c r="C36" s="6">
        <v>24</v>
      </c>
      <c r="D36" s="6">
        <v>73</v>
      </c>
    </row>
    <row r="48" spans="1:4" x14ac:dyDescent="0.3">
      <c r="A48" s="4" t="s">
        <v>46</v>
      </c>
      <c r="B48" s="4" t="s">
        <v>45</v>
      </c>
    </row>
    <row r="49" spans="1:4" x14ac:dyDescent="0.3">
      <c r="A49" s="4" t="s">
        <v>42</v>
      </c>
      <c r="B49" t="s">
        <v>18</v>
      </c>
      <c r="C49" t="s">
        <v>15</v>
      </c>
      <c r="D49" t="s">
        <v>43</v>
      </c>
    </row>
    <row r="50" spans="1:4" x14ac:dyDescent="0.3">
      <c r="A50" s="5" t="s">
        <v>48</v>
      </c>
      <c r="B50" s="6">
        <v>34</v>
      </c>
      <c r="C50" s="6">
        <v>21</v>
      </c>
      <c r="D50" s="6">
        <v>55</v>
      </c>
    </row>
    <row r="51" spans="1:4" x14ac:dyDescent="0.3">
      <c r="A51" s="5" t="s">
        <v>49</v>
      </c>
      <c r="B51" s="6">
        <v>15</v>
      </c>
      <c r="C51" s="6">
        <v>3</v>
      </c>
      <c r="D51" s="6">
        <v>18</v>
      </c>
    </row>
    <row r="52" spans="1:4" x14ac:dyDescent="0.3">
      <c r="A52" s="5" t="s">
        <v>43</v>
      </c>
      <c r="B52" s="6">
        <v>49</v>
      </c>
      <c r="C52" s="6">
        <v>24</v>
      </c>
      <c r="D52" s="6">
        <v>73</v>
      </c>
    </row>
    <row r="67" spans="1:4" x14ac:dyDescent="0.3">
      <c r="A67" s="4" t="s">
        <v>46</v>
      </c>
      <c r="B67" s="4" t="s">
        <v>45</v>
      </c>
    </row>
    <row r="68" spans="1:4" x14ac:dyDescent="0.3">
      <c r="A68" s="4" t="s">
        <v>42</v>
      </c>
      <c r="B68" t="s">
        <v>18</v>
      </c>
      <c r="C68" t="s">
        <v>15</v>
      </c>
      <c r="D68" t="s">
        <v>43</v>
      </c>
    </row>
    <row r="69" spans="1:4" x14ac:dyDescent="0.3">
      <c r="A69" s="5">
        <v>34</v>
      </c>
      <c r="B69" s="6"/>
      <c r="C69" s="6">
        <v>5</v>
      </c>
      <c r="D69" s="6">
        <v>5</v>
      </c>
    </row>
    <row r="70" spans="1:4" x14ac:dyDescent="0.3">
      <c r="A70" s="5">
        <v>35</v>
      </c>
      <c r="B70" s="6">
        <v>1</v>
      </c>
      <c r="C70" s="6"/>
      <c r="D70" s="6">
        <v>1</v>
      </c>
    </row>
    <row r="71" spans="1:4" x14ac:dyDescent="0.3">
      <c r="A71" s="5">
        <v>36</v>
      </c>
      <c r="B71" s="6">
        <v>1</v>
      </c>
      <c r="C71" s="6">
        <v>1</v>
      </c>
      <c r="D71" s="6">
        <v>2</v>
      </c>
    </row>
    <row r="72" spans="1:4" x14ac:dyDescent="0.3">
      <c r="A72" s="5">
        <v>38</v>
      </c>
      <c r="B72" s="6">
        <v>2</v>
      </c>
      <c r="C72" s="6">
        <v>2</v>
      </c>
      <c r="D72" s="6">
        <v>4</v>
      </c>
    </row>
    <row r="73" spans="1:4" x14ac:dyDescent="0.3">
      <c r="A73" s="5">
        <v>40</v>
      </c>
      <c r="B73" s="6">
        <v>2</v>
      </c>
      <c r="C73" s="6"/>
      <c r="D73" s="6">
        <v>2</v>
      </c>
    </row>
    <row r="74" spans="1:4" x14ac:dyDescent="0.3">
      <c r="A74" s="5">
        <v>41</v>
      </c>
      <c r="B74" s="6">
        <v>4</v>
      </c>
      <c r="C74" s="6"/>
      <c r="D74" s="6">
        <v>4</v>
      </c>
    </row>
    <row r="75" spans="1:4" x14ac:dyDescent="0.3">
      <c r="A75" s="5">
        <v>42</v>
      </c>
      <c r="B75" s="6">
        <v>7</v>
      </c>
      <c r="C75" s="6">
        <v>1</v>
      </c>
      <c r="D75" s="6">
        <v>8</v>
      </c>
    </row>
    <row r="76" spans="1:4" x14ac:dyDescent="0.3">
      <c r="A76" s="5">
        <v>43</v>
      </c>
      <c r="B76" s="6">
        <v>2</v>
      </c>
      <c r="C76" s="6">
        <v>2</v>
      </c>
      <c r="D76" s="6">
        <v>4</v>
      </c>
    </row>
    <row r="77" spans="1:4" x14ac:dyDescent="0.3">
      <c r="A77" s="5">
        <v>44</v>
      </c>
      <c r="B77" s="6">
        <v>1</v>
      </c>
      <c r="C77" s="6">
        <v>2</v>
      </c>
      <c r="D77" s="6">
        <v>3</v>
      </c>
    </row>
    <row r="78" spans="1:4" x14ac:dyDescent="0.3">
      <c r="A78" s="5">
        <v>45</v>
      </c>
      <c r="B78" s="6">
        <v>1</v>
      </c>
      <c r="C78" s="6">
        <v>2</v>
      </c>
      <c r="D78" s="6">
        <v>3</v>
      </c>
    </row>
    <row r="79" spans="1:4" x14ac:dyDescent="0.3">
      <c r="A79" s="5">
        <v>46</v>
      </c>
      <c r="B79" s="6">
        <v>1</v>
      </c>
      <c r="C79" s="6"/>
      <c r="D79" s="6">
        <v>1</v>
      </c>
    </row>
    <row r="80" spans="1:4" x14ac:dyDescent="0.3">
      <c r="A80" s="5">
        <v>47</v>
      </c>
      <c r="B80" s="6">
        <v>3</v>
      </c>
      <c r="C80" s="6">
        <v>1</v>
      </c>
      <c r="D80" s="6">
        <v>4</v>
      </c>
    </row>
    <row r="81" spans="1:4" x14ac:dyDescent="0.3">
      <c r="A81" s="5">
        <v>48</v>
      </c>
      <c r="B81" s="6"/>
      <c r="C81" s="6">
        <v>4</v>
      </c>
      <c r="D81" s="6">
        <v>4</v>
      </c>
    </row>
    <row r="82" spans="1:4" x14ac:dyDescent="0.3">
      <c r="A82" s="5">
        <v>53</v>
      </c>
      <c r="B82" s="6"/>
      <c r="C82" s="6">
        <v>1</v>
      </c>
      <c r="D82" s="6">
        <v>1</v>
      </c>
    </row>
    <row r="83" spans="1:4" x14ac:dyDescent="0.3">
      <c r="A83" s="5">
        <v>56</v>
      </c>
      <c r="B83" s="6">
        <v>2</v>
      </c>
      <c r="C83" s="6"/>
      <c r="D83" s="6">
        <v>2</v>
      </c>
    </row>
    <row r="84" spans="1:4" x14ac:dyDescent="0.3">
      <c r="A84" s="5">
        <v>58</v>
      </c>
      <c r="B84" s="6">
        <v>1</v>
      </c>
      <c r="C84" s="6"/>
      <c r="D84" s="6">
        <v>1</v>
      </c>
    </row>
    <row r="85" spans="1:4" x14ac:dyDescent="0.3">
      <c r="A85" s="5">
        <v>59</v>
      </c>
      <c r="B85" s="6">
        <v>6</v>
      </c>
      <c r="C85" s="6"/>
      <c r="D85" s="6">
        <v>6</v>
      </c>
    </row>
    <row r="86" spans="1:4" x14ac:dyDescent="0.3">
      <c r="A86" s="5">
        <v>60</v>
      </c>
      <c r="B86" s="6">
        <v>3</v>
      </c>
      <c r="C86" s="6"/>
      <c r="D86" s="6">
        <v>3</v>
      </c>
    </row>
    <row r="87" spans="1:4" x14ac:dyDescent="0.3">
      <c r="A87" s="5">
        <v>61</v>
      </c>
      <c r="B87" s="6">
        <v>1</v>
      </c>
      <c r="C87" s="6"/>
      <c r="D87" s="6">
        <v>1</v>
      </c>
    </row>
    <row r="88" spans="1:4" x14ac:dyDescent="0.3">
      <c r="A88" s="5">
        <v>62</v>
      </c>
      <c r="B88" s="6">
        <v>1</v>
      </c>
      <c r="C88" s="6"/>
      <c r="D88" s="6">
        <v>1</v>
      </c>
    </row>
    <row r="89" spans="1:4" x14ac:dyDescent="0.3">
      <c r="A89" s="5">
        <v>63</v>
      </c>
      <c r="B89" s="6">
        <v>3</v>
      </c>
      <c r="C89" s="6">
        <v>1</v>
      </c>
      <c r="D89" s="6">
        <v>4</v>
      </c>
    </row>
    <row r="90" spans="1:4" x14ac:dyDescent="0.3">
      <c r="A90" s="5">
        <v>64</v>
      </c>
      <c r="B90" s="6">
        <v>3</v>
      </c>
      <c r="C90" s="6">
        <v>1</v>
      </c>
      <c r="D90" s="6">
        <v>4</v>
      </c>
    </row>
    <row r="91" spans="1:4" x14ac:dyDescent="0.3">
      <c r="A91" s="5">
        <v>66</v>
      </c>
      <c r="B91" s="6">
        <v>4</v>
      </c>
      <c r="C91" s="6">
        <v>1</v>
      </c>
      <c r="D91" s="6">
        <v>5</v>
      </c>
    </row>
    <row r="92" spans="1:4" x14ac:dyDescent="0.3">
      <c r="A92" s="5" t="s">
        <v>43</v>
      </c>
      <c r="B92" s="6">
        <v>49</v>
      </c>
      <c r="C92" s="6">
        <v>24</v>
      </c>
      <c r="D92" s="6">
        <v>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9DCB-6E72-4CC8-B01E-95ED48879903}">
  <dimension ref="A1:K4"/>
  <sheetViews>
    <sheetView showGridLines="0" tabSelected="1" workbookViewId="0">
      <selection activeCell="R11" sqref="R11"/>
    </sheetView>
  </sheetViews>
  <sheetFormatPr defaultRowHeight="14.4" x14ac:dyDescent="0.3"/>
  <cols>
    <col min="11" max="11" width="12.21875" customWidth="1"/>
  </cols>
  <sheetData>
    <row r="1" spans="1:11" x14ac:dyDescent="0.3">
      <c r="A1" s="7" t="s">
        <v>50</v>
      </c>
      <c r="B1" s="8"/>
      <c r="C1" s="8"/>
      <c r="D1" s="8"/>
      <c r="E1" s="8"/>
      <c r="F1" s="8"/>
      <c r="G1" s="8"/>
      <c r="H1" s="8"/>
      <c r="I1" s="8"/>
      <c r="J1" s="8"/>
      <c r="K1" s="8"/>
    </row>
    <row r="2" spans="1:11" x14ac:dyDescent="0.3">
      <c r="A2" s="8"/>
      <c r="B2" s="8"/>
      <c r="C2" s="8"/>
      <c r="D2" s="8"/>
      <c r="E2" s="8"/>
      <c r="F2" s="8"/>
      <c r="G2" s="8"/>
      <c r="H2" s="8"/>
      <c r="I2" s="8"/>
      <c r="J2" s="8"/>
      <c r="K2" s="8"/>
    </row>
    <row r="3" spans="1:11" x14ac:dyDescent="0.3">
      <c r="A3" s="8"/>
      <c r="B3" s="8"/>
      <c r="C3" s="8"/>
      <c r="D3" s="8"/>
      <c r="E3" s="8"/>
      <c r="F3" s="8"/>
      <c r="G3" s="8"/>
      <c r="H3" s="8"/>
      <c r="I3" s="8"/>
      <c r="J3" s="8"/>
      <c r="K3" s="8"/>
    </row>
    <row r="4" spans="1:11" x14ac:dyDescent="0.3">
      <c r="A4" s="8"/>
      <c r="B4" s="8"/>
      <c r="C4" s="8"/>
      <c r="D4" s="8"/>
      <c r="E4" s="8"/>
      <c r="F4" s="8"/>
      <c r="G4" s="8"/>
      <c r="H4" s="8"/>
      <c r="I4" s="8"/>
      <c r="J4" s="8"/>
      <c r="K4" s="8"/>
    </row>
  </sheetData>
  <mergeCells count="1">
    <mergeCell ref="A1: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Malakhiwe Phumetyeni</cp:lastModifiedBy>
  <dcterms:created xsi:type="dcterms:W3CDTF">2022-03-18T02:50:57Z</dcterms:created>
  <dcterms:modified xsi:type="dcterms:W3CDTF">2026-02-19T20:06:11Z</dcterms:modified>
</cp:coreProperties>
</file>